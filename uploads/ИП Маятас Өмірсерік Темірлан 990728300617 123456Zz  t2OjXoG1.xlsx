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showHorizontalScroll="0" showVerticalScroll="0" showSheetTabs="0" xWindow="0" yWindow="0" windowWidth="23040" windowHeight="9072"/>
  </bookViews>
  <sheets>
    <sheet name="990728300617" sheetId="1" r:id="rId1"/>
    <sheet name="пароль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8" i="1" l="1"/>
  <c r="D18" i="1"/>
  <c r="C18" i="1"/>
  <c r="B18" i="1"/>
  <c r="D37" i="1" l="1"/>
  <c r="C37" i="1"/>
  <c r="B37" i="1"/>
  <c r="G37" i="1" s="1"/>
  <c r="A22" i="1"/>
  <c r="A4" i="1" l="1"/>
</calcChain>
</file>

<file path=xl/sharedStrings.xml><?xml version="1.0" encoding="utf-8"?>
<sst xmlns="http://schemas.openxmlformats.org/spreadsheetml/2006/main" count="23" uniqueCount="16">
  <si>
    <t>оплатила</t>
  </si>
  <si>
    <t>долг по отчетам</t>
  </si>
  <si>
    <t>сдала</t>
  </si>
  <si>
    <t>пенсионка</t>
  </si>
  <si>
    <t>соц.отчисл</t>
  </si>
  <si>
    <t>восмс 5% от 1,4 МЗП</t>
  </si>
  <si>
    <t>01 полуг 2023</t>
  </si>
  <si>
    <t>ИПН 50%</t>
  </si>
  <si>
    <t>СН 50%</t>
  </si>
  <si>
    <t>ИТОГО к ОПЛАТЕ</t>
  </si>
  <si>
    <t>ИТОГО:</t>
  </si>
  <si>
    <t>990728300617</t>
  </si>
  <si>
    <t>123456Zz</t>
  </si>
  <si>
    <t>Dy86Ve6M</t>
  </si>
  <si>
    <t>1 полуг 2023 доп</t>
  </si>
  <si>
    <t>2 полуг 2023 ликвид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</si>
</sst>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8"/>
      <name val="Times New Roman"/>
      <family val="1"/>
      <charset val="204"/>
    </font>
    <font>
      <b/>
      <sz val="11"/>
      <color rgb="FF212529"/>
      <name val="Arial"/>
      <family val="2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49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14" fontId="3" fillId="0" borderId="1" xfId="0" applyNumberFormat="1" applyFont="1" applyBorder="1"/>
    <xf numFmtId="9" fontId="2" fillId="0" borderId="1" xfId="0" applyNumberFormat="1" applyFont="1" applyBorder="1"/>
    <xf numFmtId="10" fontId="2" fillId="0" borderId="1" xfId="0" applyNumberFormat="1" applyFont="1" applyBorder="1"/>
    <xf numFmtId="17" fontId="2" fillId="0" borderId="1" xfId="0" applyNumberFormat="1" applyFont="1" applyBorder="1"/>
    <xf numFmtId="0" fontId="2" fillId="2" borderId="1" xfId="0" applyFont="1" applyFill="1" applyBorder="1"/>
    <xf numFmtId="14" fontId="2" fillId="0" borderId="0" xfId="0" applyNumberFormat="1" applyFont="1"/>
    <xf numFmtId="0" fontId="2" fillId="0" borderId="1" xfId="0" applyFont="1" applyFill="1" applyBorder="1"/>
    <xf numFmtId="0" fontId="4" fillId="3" borderId="1" xfId="0" applyFont="1" applyFill="1" applyBorder="1"/>
    <xf numFmtId="0" fontId="2" fillId="0" borderId="1" xfId="0" applyNumberFormat="1" applyFont="1" applyBorder="1"/>
    <xf numFmtId="0" fontId="5" fillId="0" borderId="0" xfId="0" applyFont="1"/>
    <xf numFmtId="0" fontId="2" fillId="4" borderId="1" xfId="0" applyFont="1" applyFill="1" applyBorder="1"/>
    <xf numFmtId="0" fontId="4" fillId="0" borderId="1" xfId="0" applyFont="1" applyFill="1" applyBorder="1"/>
    <xf numFmtId="0" fontId="2" fillId="5" borderId="1" xfId="0" applyNumberFormat="1" applyFont="1" applyFill="1" applyBorder="1"/>
    <xf numFmtId="0" fontId="2" fillId="5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/>
    <xf numFmtId="9" fontId="6" fillId="0" borderId="1" xfId="0" applyNumberFormat="1" applyFont="1" applyBorder="1"/>
    <xf numFmtId="10" fontId="6" fillId="0" borderId="1" xfId="0" applyNumberFormat="1" applyFont="1" applyBorder="1"/>
    <xf numFmtId="0" fontId="6" fillId="0" borderId="1" xfId="0" applyNumberFormat="1" applyFont="1" applyBorder="1"/>
    <xf numFmtId="0" fontId="6" fillId="0" borderId="0" xfId="0" applyNumberFormat="1" applyFont="1"/>
    <xf numFmtId="17" fontId="6" fillId="0" borderId="1" xfId="0" applyNumberFormat="1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7" fillId="0" borderId="0" xfId="0" applyFont="1" applyFill="1" applyBorder="1"/>
    <xf numFmtId="0" fontId="6" fillId="0" borderId="0" xfId="0" applyFont="1" applyFill="1"/>
    <xf numFmtId="0" fontId="7" fillId="3" borderId="2" xfId="0" applyFont="1" applyFill="1" applyBorder="1"/>
    <xf numFmtId="0" fontId="7" fillId="3" borderId="1" xfId="0" applyFont="1" applyFill="1" applyBorder="1"/>
    <xf numFmtId="14" fontId="1" fillId="0" borderId="0" xfId="0" applyNumberFormat="1" applyFont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tabSelected="1" zoomScaleNormal="100" workbookViewId="0">
      <selection activeCell="H18" sqref="H18"/>
    </sheetView>
  </sheetViews>
  <sheetFormatPr defaultRowHeight="14.4" x14ac:dyDescent="0.3"/>
  <cols>
    <col min="1" max="1" width="21.5546875" bestFit="1" customWidth="1"/>
    <col min="2" max="2" width="17" bestFit="1" customWidth="1"/>
    <col min="3" max="3" width="17.88671875" bestFit="1" customWidth="1"/>
    <col min="4" max="4" width="33.5546875" bestFit="1" customWidth="1"/>
    <col min="5" max="5" width="15.88671875" bestFit="1" customWidth="1"/>
    <col min="6" max="6" width="13.109375" bestFit="1" customWidth="1"/>
    <col min="7" max="7" width="30.6640625" bestFit="1" customWidth="1"/>
    <col min="8" max="8" width="16.88671875" bestFit="1" customWidth="1"/>
    <col min="9" max="9" width="22.6640625" bestFit="1" customWidth="1"/>
    <col min="10" max="10" width="16" bestFit="1" customWidth="1"/>
  </cols>
  <sheetData>
    <row r="1" spans="1:3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2.8" x14ac:dyDescent="0.4">
      <c r="A2" s="2" t="s">
        <v>11</v>
      </c>
      <c r="B2" s="3"/>
      <c r="C2" s="37"/>
      <c r="D2" s="37"/>
      <c r="E2" s="37"/>
      <c r="F2" s="37"/>
      <c r="G2" s="4"/>
      <c r="H2" s="5" t="s">
        <v>0</v>
      </c>
      <c r="I2" s="6" t="s">
        <v>1</v>
      </c>
      <c r="J2" s="6" t="s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2.8" x14ac:dyDescent="0.4">
      <c r="A3" s="3">
        <v>70000</v>
      </c>
      <c r="B3" s="3" t="s">
        <v>3</v>
      </c>
      <c r="C3" s="7" t="s">
        <v>4</v>
      </c>
      <c r="D3" s="7" t="s">
        <v>5</v>
      </c>
      <c r="E3" s="7"/>
      <c r="F3" s="7"/>
      <c r="G3" s="4"/>
      <c r="H3" s="1"/>
      <c r="I3" s="6" t="s">
        <v>6</v>
      </c>
      <c r="J3" s="8">
        <v>45117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2.8" x14ac:dyDescent="0.4">
      <c r="A4" s="3">
        <f>A3*1.4</f>
        <v>98000</v>
      </c>
      <c r="B4" s="9">
        <v>0.1</v>
      </c>
      <c r="C4" s="10">
        <v>3.5000000000000003E-2</v>
      </c>
      <c r="D4" s="9">
        <v>0.05</v>
      </c>
      <c r="E4" s="3" t="s">
        <v>7</v>
      </c>
      <c r="F4" s="3" t="s">
        <v>8</v>
      </c>
      <c r="G4" s="4"/>
      <c r="H4" s="1"/>
      <c r="I4" s="1" t="s">
        <v>14</v>
      </c>
      <c r="J4" s="36">
        <v>45280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2.8" x14ac:dyDescent="0.4">
      <c r="A5" s="11">
        <v>44986</v>
      </c>
      <c r="B5" s="12">
        <v>7000</v>
      </c>
      <c r="C5" s="12">
        <v>2450</v>
      </c>
      <c r="D5" s="12">
        <v>4900</v>
      </c>
      <c r="E5" s="3"/>
      <c r="F5" s="3"/>
      <c r="G5" s="4"/>
      <c r="H5" s="13">
        <v>45049</v>
      </c>
      <c r="I5" s="1" t="s">
        <v>15</v>
      </c>
      <c r="J5" s="36">
        <v>45280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2.8" x14ac:dyDescent="0.4">
      <c r="A6" s="11">
        <v>45017</v>
      </c>
      <c r="B6" s="18">
        <v>7000</v>
      </c>
      <c r="C6" s="18">
        <v>2450</v>
      </c>
      <c r="D6" s="18">
        <v>4900</v>
      </c>
      <c r="E6" s="3"/>
      <c r="F6" s="3"/>
      <c r="G6" s="4"/>
      <c r="H6" s="13">
        <v>45072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2.8" x14ac:dyDescent="0.4">
      <c r="A7" s="11">
        <v>45047</v>
      </c>
      <c r="B7" s="18">
        <v>7000</v>
      </c>
      <c r="C7" s="18">
        <v>2450</v>
      </c>
      <c r="D7" s="18">
        <v>4900</v>
      </c>
      <c r="E7" s="3"/>
      <c r="F7" s="3"/>
      <c r="G7" s="4"/>
      <c r="H7" s="13">
        <v>45105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2.8" x14ac:dyDescent="0.4">
      <c r="A8" s="11">
        <v>45078</v>
      </c>
      <c r="B8" s="18">
        <v>7000</v>
      </c>
      <c r="C8" s="18">
        <v>2450</v>
      </c>
      <c r="D8" s="18">
        <v>4900</v>
      </c>
      <c r="E8" s="3"/>
      <c r="F8" s="3"/>
      <c r="G8" s="19"/>
      <c r="H8" s="13">
        <v>45128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2.8" x14ac:dyDescent="0.4">
      <c r="A9" s="20">
        <v>23622356</v>
      </c>
      <c r="B9" s="21"/>
      <c r="C9" s="21"/>
      <c r="D9" s="21"/>
      <c r="E9" s="21">
        <v>354336</v>
      </c>
      <c r="F9" s="21">
        <v>344536</v>
      </c>
      <c r="G9" s="19"/>
      <c r="H9" s="13">
        <v>45163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22.8" x14ac:dyDescent="0.4">
      <c r="A10" s="11">
        <v>45108</v>
      </c>
      <c r="B10" s="12">
        <v>7000</v>
      </c>
      <c r="C10" s="12">
        <v>2450</v>
      </c>
      <c r="D10" s="12">
        <v>4900</v>
      </c>
      <c r="E10" s="3"/>
      <c r="F10" s="3"/>
      <c r="G10" s="19"/>
      <c r="H10" s="13">
        <v>45163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22.8" x14ac:dyDescent="0.4">
      <c r="A11" s="11">
        <v>45139</v>
      </c>
      <c r="B11" s="12">
        <v>7000</v>
      </c>
      <c r="C11" s="12">
        <v>2450</v>
      </c>
      <c r="D11" s="12">
        <v>4900</v>
      </c>
      <c r="E11" s="3"/>
      <c r="F11" s="3"/>
      <c r="G11" s="19"/>
      <c r="H11" s="13">
        <v>45197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22.8" x14ac:dyDescent="0.4">
      <c r="A12" s="11">
        <v>45170</v>
      </c>
      <c r="B12" s="12">
        <v>7000</v>
      </c>
      <c r="C12" s="12">
        <v>2450</v>
      </c>
      <c r="D12" s="12">
        <v>4900</v>
      </c>
      <c r="E12" s="3"/>
      <c r="F12" s="3"/>
      <c r="G12" s="19"/>
      <c r="H12" s="13">
        <v>45222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22.8" x14ac:dyDescent="0.4">
      <c r="A13" s="11">
        <v>45200</v>
      </c>
      <c r="B13" s="12"/>
      <c r="C13" s="12"/>
      <c r="D13" s="12">
        <v>4900</v>
      </c>
      <c r="E13" s="3"/>
      <c r="F13" s="3"/>
      <c r="G13" s="19"/>
      <c r="H13" s="13">
        <v>45254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22.8" x14ac:dyDescent="0.4">
      <c r="A14" s="11">
        <v>45231</v>
      </c>
      <c r="B14" s="14"/>
      <c r="C14" s="14"/>
      <c r="D14" s="12">
        <v>4900</v>
      </c>
      <c r="E14" s="3"/>
      <c r="F14" s="3"/>
      <c r="G14" s="19"/>
      <c r="H14" s="13">
        <v>45286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22.8" x14ac:dyDescent="0.4">
      <c r="A15" s="11">
        <v>45261</v>
      </c>
      <c r="B15" s="12">
        <v>7000</v>
      </c>
      <c r="C15" s="12">
        <v>2450</v>
      </c>
      <c r="D15" s="12">
        <v>4900</v>
      </c>
      <c r="E15" s="3"/>
      <c r="F15" s="3"/>
      <c r="G15" s="19"/>
      <c r="H15" s="13">
        <v>45286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22.8" x14ac:dyDescent="0.4">
      <c r="A16" s="20">
        <v>5223645</v>
      </c>
      <c r="B16" s="21"/>
      <c r="C16" s="21"/>
      <c r="D16" s="21"/>
      <c r="E16" s="21">
        <v>78355</v>
      </c>
      <c r="F16" s="21">
        <v>78355</v>
      </c>
      <c r="G16" s="19"/>
      <c r="H16" s="13">
        <v>45289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22.8" x14ac:dyDescent="0.4">
      <c r="A17" s="20">
        <v>25894000</v>
      </c>
      <c r="B17" s="21"/>
      <c r="C17" s="21"/>
      <c r="D17" s="21"/>
      <c r="E17" s="21">
        <v>388410</v>
      </c>
      <c r="F17" s="21">
        <v>378610</v>
      </c>
      <c r="G17" s="15" t="s">
        <v>9</v>
      </c>
      <c r="H17" s="13">
        <v>45289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22.8" x14ac:dyDescent="0.4">
      <c r="A18" s="3" t="s">
        <v>10</v>
      </c>
      <c r="B18" s="3">
        <f>SUM(B5:B17)</f>
        <v>56000</v>
      </c>
      <c r="C18" s="16">
        <f>SUM(C5:C17)</f>
        <v>19600</v>
      </c>
      <c r="D18" s="3">
        <f>SUM(D5:D17)</f>
        <v>49000</v>
      </c>
      <c r="E18" s="3">
        <v>0</v>
      </c>
      <c r="F18" s="3">
        <v>0</v>
      </c>
      <c r="G18" s="15">
        <f>B18+C18+D18+E18+F18</f>
        <v>124600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21" spans="1:31" ht="18" x14ac:dyDescent="0.35">
      <c r="A21" s="22">
        <v>85000</v>
      </c>
      <c r="B21" s="22" t="s">
        <v>3</v>
      </c>
      <c r="C21" s="23" t="s">
        <v>4</v>
      </c>
      <c r="D21" s="23" t="s">
        <v>5</v>
      </c>
      <c r="E21" s="23"/>
      <c r="F21" s="23"/>
      <c r="G21" s="24"/>
    </row>
    <row r="22" spans="1:31" ht="18" x14ac:dyDescent="0.35">
      <c r="A22" s="22">
        <f>A21*1.4</f>
        <v>118999.99999999999</v>
      </c>
      <c r="B22" s="25">
        <v>0.1</v>
      </c>
      <c r="C22" s="26">
        <v>3.5000000000000003E-2</v>
      </c>
      <c r="D22" s="25">
        <v>0.05</v>
      </c>
      <c r="E22" s="22" t="s">
        <v>7</v>
      </c>
      <c r="F22" s="22" t="s">
        <v>8</v>
      </c>
      <c r="G22" s="24"/>
    </row>
    <row r="23" spans="1:31" ht="18" x14ac:dyDescent="0.35">
      <c r="A23" s="27"/>
      <c r="B23" s="27">
        <v>8500</v>
      </c>
      <c r="C23" s="27">
        <v>2975</v>
      </c>
      <c r="D23" s="27">
        <v>5950</v>
      </c>
      <c r="E23" s="27"/>
      <c r="F23" s="27"/>
      <c r="G23" s="28"/>
    </row>
    <row r="24" spans="1:31" ht="18" x14ac:dyDescent="0.35">
      <c r="A24" s="29">
        <v>45292</v>
      </c>
      <c r="B24" s="30"/>
      <c r="C24" s="30"/>
      <c r="D24" s="30"/>
      <c r="E24" s="30"/>
      <c r="F24" s="30"/>
      <c r="G24" s="24"/>
    </row>
    <row r="25" spans="1:31" ht="18" x14ac:dyDescent="0.35">
      <c r="A25" s="29">
        <v>45323</v>
      </c>
      <c r="B25" s="30"/>
      <c r="C25" s="30"/>
      <c r="D25" s="30"/>
      <c r="E25" s="30"/>
      <c r="F25" s="30"/>
      <c r="G25" s="24"/>
    </row>
    <row r="26" spans="1:31" ht="18" x14ac:dyDescent="0.35">
      <c r="A26" s="29">
        <v>45352</v>
      </c>
      <c r="B26" s="30"/>
      <c r="C26" s="30"/>
      <c r="D26" s="30"/>
      <c r="E26" s="30"/>
      <c r="F26" s="30"/>
      <c r="G26" s="24"/>
    </row>
    <row r="27" spans="1:31" ht="18" x14ac:dyDescent="0.35">
      <c r="A27" s="29">
        <v>45383</v>
      </c>
      <c r="B27" s="30"/>
      <c r="C27" s="30"/>
      <c r="D27" s="30"/>
      <c r="E27" s="30"/>
      <c r="F27" s="30"/>
      <c r="G27" s="24"/>
    </row>
    <row r="28" spans="1:31" ht="18" x14ac:dyDescent="0.35">
      <c r="A28" s="29">
        <v>45413</v>
      </c>
      <c r="B28" s="30"/>
      <c r="C28" s="30"/>
      <c r="D28" s="30"/>
      <c r="E28" s="30"/>
      <c r="F28" s="30"/>
      <c r="G28" s="24"/>
    </row>
    <row r="29" spans="1:31" ht="18" x14ac:dyDescent="0.35">
      <c r="A29" s="29">
        <v>45444</v>
      </c>
      <c r="B29" s="30"/>
      <c r="C29" s="30"/>
      <c r="D29" s="31"/>
      <c r="E29" s="30"/>
      <c r="F29" s="30"/>
      <c r="G29" s="32"/>
    </row>
    <row r="30" spans="1:31" ht="18" x14ac:dyDescent="0.35">
      <c r="A30" s="31"/>
      <c r="B30" s="30"/>
      <c r="C30" s="30"/>
      <c r="D30" s="33"/>
      <c r="E30" s="30"/>
      <c r="F30" s="30"/>
      <c r="G30" s="32"/>
    </row>
    <row r="31" spans="1:31" ht="18" x14ac:dyDescent="0.35">
      <c r="A31" s="29">
        <v>45474</v>
      </c>
      <c r="B31" s="30"/>
      <c r="C31" s="30"/>
      <c r="D31" s="30"/>
      <c r="E31" s="30"/>
      <c r="F31" s="30"/>
      <c r="G31" s="32"/>
    </row>
    <row r="32" spans="1:31" ht="18" x14ac:dyDescent="0.35">
      <c r="A32" s="29">
        <v>45505</v>
      </c>
      <c r="B32" s="30"/>
      <c r="C32" s="30"/>
      <c r="D32" s="30"/>
      <c r="E32" s="30"/>
      <c r="F32" s="30"/>
      <c r="G32" s="32"/>
    </row>
    <row r="33" spans="1:7" ht="18" x14ac:dyDescent="0.35">
      <c r="A33" s="29">
        <v>45536</v>
      </c>
      <c r="B33" s="30"/>
      <c r="C33" s="30"/>
      <c r="D33" s="30"/>
      <c r="E33" s="30"/>
      <c r="F33" s="30"/>
      <c r="G33" s="32"/>
    </row>
    <row r="34" spans="1:7" ht="18" x14ac:dyDescent="0.35">
      <c r="A34" s="29">
        <v>45566</v>
      </c>
      <c r="B34" s="30"/>
      <c r="C34" s="30"/>
      <c r="D34" s="30"/>
      <c r="E34" s="30"/>
      <c r="F34" s="30"/>
      <c r="G34" s="32"/>
    </row>
    <row r="35" spans="1:7" ht="18" x14ac:dyDescent="0.35">
      <c r="A35" s="29">
        <v>45597</v>
      </c>
      <c r="B35" s="30"/>
      <c r="C35" s="30"/>
      <c r="D35" s="30"/>
      <c r="E35" s="30"/>
      <c r="F35" s="30"/>
      <c r="G35" s="32"/>
    </row>
    <row r="36" spans="1:7" ht="18" x14ac:dyDescent="0.35">
      <c r="A36" s="29">
        <v>45627</v>
      </c>
      <c r="B36" s="30"/>
      <c r="C36" s="30"/>
      <c r="D36" s="30"/>
      <c r="E36" s="30"/>
      <c r="F36" s="30"/>
      <c r="G36" s="34" t="s">
        <v>9</v>
      </c>
    </row>
    <row r="37" spans="1:7" ht="18" x14ac:dyDescent="0.35">
      <c r="A37" s="22" t="s">
        <v>10</v>
      </c>
      <c r="B37" s="22">
        <f>SUM(B24:B36)</f>
        <v>0</v>
      </c>
      <c r="C37" s="22">
        <f t="shared" ref="C37:D37" si="0">SUM(C24:C36)</f>
        <v>0</v>
      </c>
      <c r="D37" s="22">
        <f t="shared" si="0"/>
        <v>0</v>
      </c>
      <c r="E37" s="22">
        <v>0</v>
      </c>
      <c r="F37" s="22">
        <v>0</v>
      </c>
      <c r="G37" s="35">
        <f>SUM(B37:F37)</f>
        <v>0</v>
      </c>
    </row>
  </sheetData>
  <mergeCells count="2">
    <mergeCell ref="C2:D2"/>
    <mergeCell ref="E2:F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12</v>
      </c>
    </row>
    <row r="2" spans="1:1" x14ac:dyDescent="0.3">
      <c r="A2" s="17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990728300617</vt:lpstr>
      <vt:lpstr>пароль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2024-01-02T06:12:25Z</dcterms:modified>
</cp:coreProperties>
</file>